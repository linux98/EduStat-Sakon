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<sst xmlns="http://schemas.openxmlformats.org/spreadsheetml/2006/main" count="417" uniqueCount="105">
  <si>
    <t>ข้อมูลหน่วยงาน โรงเรียนตำรวจตระเวนชายแดนค๊อกนิสไทย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</si>
  <si>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</si>
  <si>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</si>
  <si>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</si>
  <si>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</si>
  <si>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</si>
  <si>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</si>
  <si>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โรงเรียนตำรวจตระเวนชายแดนค๊อกนิสไทย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</si>
  <si>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</si>
  <si>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</si>
  <si>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</si>
  <si>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</si>
  <si>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</si>
  <si>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</si>
  <si>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</si>
  <si>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โรงเรียนตำรวจตระเวนชายแดนค๊อกนิสไทย</t>
  </si>
  <si>
    <t>จำนวนบุคลากรที่ทำหน้าที่สอน และวุฒิการศึกษา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</si>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</sst>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 t="s">
        <v>15</v>
      </c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16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>
        <f>SUM(V8,S8,P8,M8,J8,G8)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/>
      <c r="AH8" s="4"/>
      <c r="AI8" s="4">
        <f>SUM(AG8:AH8)</f>
        <v>0</v>
      </c>
      <c r="AJ8" s="4">
        <f>SUM(AI8,AF8,AC8,Z8)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2"/>
      <c r="G6" s="12"/>
      <c r="H6" s="15" t="s">
        <v>36</v>
      </c>
      <c r="I6" s="22"/>
      <c r="J6" s="12"/>
      <c r="K6" s="15" t="s">
        <v>37</v>
      </c>
      <c r="L6" s="22"/>
      <c r="M6" s="12"/>
      <c r="N6" s="15" t="s">
        <v>38</v>
      </c>
      <c r="O6" s="22"/>
      <c r="P6" s="12"/>
      <c r="Q6" s="15" t="s">
        <v>39</v>
      </c>
      <c r="R6" s="22"/>
      <c r="S6" s="12"/>
      <c r="T6" s="15" t="s">
        <v>40</v>
      </c>
      <c r="U6" s="22"/>
      <c r="V6" s="12"/>
      <c r="W6" s="15" t="s">
        <v>41</v>
      </c>
      <c r="X6" s="22"/>
      <c r="Y6" s="12"/>
      <c r="Z6" s="15" t="s">
        <v>42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/>
      <c r="X8" s="4"/>
      <c r="Y8" s="4">
        <f>SUM(W8:X8)</f>
        <v>0</v>
      </c>
      <c r="Z8" s="4"/>
      <c r="AA8" s="4"/>
      <c r="AB8" s="4">
        <f>SUM(Z8:AA8)</f>
        <v>0</v>
      </c>
      <c r="AC8" s="4"/>
      <c r="AD8" s="4"/>
      <c r="AE8" s="4">
        <f>SUM(AC8:AD8)</f>
        <v>0</v>
      </c>
      <c r="AF8" s="4">
        <f>SUM(AE8,AB8,Y8,V8,S8,P8,M8,J8,G8)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43</v>
      </c>
      <c r="BC1" s="2"/>
    </row>
    <row r="2" ht="24.0" customHeight="1">
      <c r="A2" s="1" t="s">
        <v>15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>
        <f>SUM(M8,J8,G8)</f>
        <v>0</v>
      </c>
      <c r="O8" s="4"/>
      <c r="P8" s="4"/>
      <c r="Q8" s="4">
        <f>SUM(O8:P8)</f>
        <v>0</v>
      </c>
      <c r="R8" s="4"/>
      <c r="S8" s="4"/>
      <c r="T8" s="4">
        <f>SUM(R8:S8)</f>
        <v>0</v>
      </c>
      <c r="U8" s="4"/>
      <c r="V8" s="4"/>
      <c r="W8" s="4">
        <f>SUM(U8:V8)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SUM(AF8,AC8,Z8,W8,T8,Q8)</f>
        <v>0</v>
      </c>
      <c r="AH8" s="4"/>
      <c r="AI8" s="4"/>
      <c r="AJ8" s="4">
        <f>SUM(AH8:AI8)</f>
        <v>0</v>
      </c>
      <c r="AK8" s="4"/>
      <c r="AL8" s="4"/>
      <c r="AM8" s="4">
        <f>SUM(AK8:AL8)</f>
        <v>0</v>
      </c>
      <c r="AN8" s="4"/>
      <c r="AO8" s="4"/>
      <c r="AP8" s="4">
        <f>SUM(AN8:AO8)</f>
        <v>0</v>
      </c>
      <c r="AQ8" s="4">
        <f>SUM(AP8,AM8,AJ8)</f>
        <v>0</v>
      </c>
      <c r="AR8" s="4"/>
      <c r="AS8" s="4"/>
      <c r="AT8" s="4">
        <f>SUM(AR8:AS8)</f>
        <v>0</v>
      </c>
      <c r="AU8" s="4"/>
      <c r="AV8" s="4"/>
      <c r="AW8" s="4">
        <f>SUM(AU8:AV8)</f>
        <v>0</v>
      </c>
      <c r="AX8" s="4"/>
      <c r="AY8" s="4"/>
      <c r="AZ8" s="4">
        <f>SUM(AX8:AY8)</f>
        <v>0</v>
      </c>
      <c r="BA8" s="4">
        <f>SUM(AZ8,AW8,AT8)</f>
        <v>0</v>
      </c>
      <c r="BB8" s="4">
        <f>SUM(BA8,AQ8,AG8,N8)</f>
        <v>0</v>
      </c>
      <c r="BC8" s="4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57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65</v>
      </c>
    </row>
    <row r="2" ht="24.0" customHeight="1">
      <c r="A2" s="1" t="s">
        <v>15</v>
      </c>
    </row>
    <row r="3" ht="24.0" customHeight="1">
      <c r="A3" s="1" t="s">
        <v>66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>
        <f>SUM(M8,J8,G8)</f>
        <v>0</v>
      </c>
      <c r="O8" s="4"/>
      <c r="P8" s="4"/>
      <c r="Q8" s="4">
        <f>SUM(O8:P8)</f>
        <v>0</v>
      </c>
      <c r="R8" s="4"/>
      <c r="S8" s="4"/>
      <c r="T8" s="4">
        <f>SUM(R8:S8)</f>
        <v>0</v>
      </c>
      <c r="U8" s="4"/>
      <c r="V8" s="4"/>
      <c r="W8" s="4">
        <f>SUM(U8:V8)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SUM(AF8,AC8,Z8,W8,T8,Q8)</f>
        <v>0</v>
      </c>
      <c r="AH8" s="4"/>
      <c r="AI8" s="4"/>
      <c r="AJ8" s="4">
        <f>SUM(AH8:AI8)</f>
        <v>0</v>
      </c>
      <c r="AK8" s="4"/>
      <c r="AL8" s="4"/>
      <c r="AM8" s="4">
        <f>SUM(AK8:AL8)</f>
        <v>0</v>
      </c>
      <c r="AN8" s="4"/>
      <c r="AO8" s="4"/>
      <c r="AP8" s="4">
        <f>SUM(AN8:AO8)</f>
        <v>0</v>
      </c>
      <c r="AQ8" s="4">
        <f>SUM(AP8,AM8,AJ8)</f>
        <v>0</v>
      </c>
      <c r="AR8" s="4"/>
      <c r="AS8" s="4"/>
      <c r="AT8" s="4">
        <f>SUM(AR8:AS8)</f>
        <v>0</v>
      </c>
      <c r="AU8" s="4"/>
      <c r="AV8" s="4"/>
      <c r="AW8" s="4">
        <f>SUM(AU8:AV8)</f>
        <v>0</v>
      </c>
      <c r="AX8" s="4"/>
      <c r="AY8" s="4"/>
      <c r="AZ8" s="4">
        <f>SUM(AX8:AY8)</f>
        <v>0</v>
      </c>
      <c r="BA8" s="4">
        <f>SUM(AZ8,AW8,AT8)</f>
        <v>0</v>
      </c>
      <c r="BB8" s="4">
        <f>SUM(BA8,AQ8,AG8,N8)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68</v>
      </c>
      <c r="C5" s="18" t="s">
        <v>69</v>
      </c>
      <c r="D5" s="9"/>
      <c r="E5" s="9"/>
      <c r="F5" s="23" t="s">
        <v>70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71</v>
      </c>
      <c r="D6" s="3" t="s">
        <v>72</v>
      </c>
      <c r="E6" s="3" t="s">
        <v>73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1">
        <v>1.0</v>
      </c>
      <c r="B7" s="4" t="s">
        <v>74</v>
      </c>
      <c r="C7" s="21"/>
      <c r="D7" s="21"/>
      <c r="E7" s="21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2.0</v>
      </c>
      <c r="B8" s="4" t="s">
        <v>75</v>
      </c>
      <c r="C8" s="21"/>
      <c r="D8" s="21"/>
      <c r="E8" s="21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3.0</v>
      </c>
      <c r="B9" s="4" t="s">
        <v>76</v>
      </c>
      <c r="C9" s="21"/>
      <c r="D9" s="21"/>
      <c r="E9" s="21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4.0</v>
      </c>
      <c r="B10" s="4" t="s">
        <v>77</v>
      </c>
      <c r="C10" s="21"/>
      <c r="D10" s="21"/>
      <c r="E10" s="21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5.0</v>
      </c>
      <c r="B11" s="4" t="s">
        <v>78</v>
      </c>
      <c r="C11" s="21"/>
      <c r="D11" s="21"/>
      <c r="E11" s="21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6.0</v>
      </c>
      <c r="B12" s="4" t="s">
        <v>79</v>
      </c>
      <c r="C12" s="21"/>
      <c r="D12" s="21"/>
      <c r="E12" s="21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7.0</v>
      </c>
      <c r="B13" s="4" t="s">
        <v>80</v>
      </c>
      <c r="C13" s="21"/>
      <c r="D13" s="21"/>
      <c r="E13" s="21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8.0</v>
      </c>
      <c r="B14" s="4" t="s">
        <v>81</v>
      </c>
      <c r="C14" s="21"/>
      <c r="D14" s="21"/>
      <c r="E14" s="21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9.0</v>
      </c>
      <c r="B15" s="4" t="s">
        <v>82</v>
      </c>
      <c r="C15" s="21"/>
      <c r="D15" s="21"/>
      <c r="E15" s="21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8">
        <f t="shared" ref="C16:F16" si="2">SUM(C7:C15)</f>
        <v>0</v>
      </c>
      <c r="D16" s="28">
        <f t="shared" si="2"/>
        <v>0</v>
      </c>
      <c r="E16" s="28">
        <f t="shared" si="2"/>
        <v>0</v>
      </c>
      <c r="F16" s="28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83</v>
      </c>
      <c r="BC1" s="2"/>
    </row>
    <row r="2" ht="24.0" customHeight="1">
      <c r="A2" s="1" t="s">
        <v>15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>
        <f>SUM(M8,J8,G8)</f>
        <v>0</v>
      </c>
      <c r="O8" s="4"/>
      <c r="P8" s="4"/>
      <c r="Q8" s="4">
        <f>SUM(O8:P8)</f>
        <v>0</v>
      </c>
      <c r="R8" s="4"/>
      <c r="S8" s="4"/>
      <c r="T8" s="4">
        <f>SUM(R8:S8)</f>
        <v>0</v>
      </c>
      <c r="U8" s="4"/>
      <c r="V8" s="4"/>
      <c r="W8" s="4">
        <f>SUM(U8:V8)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SUM(AF8,AC8,Z8,W8,T8,Q8)</f>
        <v>0</v>
      </c>
      <c r="AH8" s="4"/>
      <c r="AI8" s="4"/>
      <c r="AJ8" s="4">
        <f>SUM(AH8:AI8)</f>
        <v>0</v>
      </c>
      <c r="AK8" s="4"/>
      <c r="AL8" s="4"/>
      <c r="AM8" s="4">
        <f>SUM(AK8:AL8)</f>
        <v>0</v>
      </c>
      <c r="AN8" s="4"/>
      <c r="AO8" s="4"/>
      <c r="AP8" s="4">
        <f>SUM(AN8:AO8)</f>
        <v>0</v>
      </c>
      <c r="AQ8" s="4">
        <f>SUM(AP8,AM8,AJ8)</f>
        <v>0</v>
      </c>
      <c r="AR8" s="4"/>
      <c r="AS8" s="4"/>
      <c r="AT8" s="4">
        <f>SUM(AR8:AS8)</f>
        <v>0</v>
      </c>
      <c r="AU8" s="4"/>
      <c r="AV8" s="4"/>
      <c r="AW8" s="4">
        <f>SUM(AU8:AV8)</f>
        <v>0</v>
      </c>
      <c r="AX8" s="4"/>
      <c r="AY8" s="4"/>
      <c r="AZ8" s="4">
        <f>SUM(AX8:AY8)</f>
        <v>0</v>
      </c>
      <c r="BA8" s="4">
        <f>SUM(AZ8,AW8,AT8)</f>
        <v>0</v>
      </c>
      <c r="BB8" s="4">
        <f>SUM(BA8,AQ8,AG8,N8)</f>
        <v>0</v>
      </c>
      <c r="BC8" s="4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85</v>
      </c>
      <c r="C4" s="3" t="s">
        <v>86</v>
      </c>
      <c r="D4" s="3" t="s">
        <v>87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 t="s">
        <v>15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85</v>
      </c>
      <c r="C4" s="3" t="s">
        <v>86</v>
      </c>
      <c r="D4" s="3" t="s">
        <v>87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 t="s">
        <v>15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88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 t="s">
        <v>15</v>
      </c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 t="s">
        <v>15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97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 t="s">
        <v>15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0" t="s">
        <v>99</v>
      </c>
      <c r="D4" s="31" t="s">
        <v>99</v>
      </c>
      <c r="E4" s="31" t="s">
        <v>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2" t="s">
        <v>100</v>
      </c>
      <c r="D5" s="33" t="s">
        <v>101</v>
      </c>
      <c r="E5" s="33" t="s">
        <v>101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2" t="s">
        <v>102</v>
      </c>
      <c r="D6" s="33" t="s">
        <v>103</v>
      </c>
      <c r="E6" s="33" t="s">
        <v>104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4"/>
      <c r="D7" s="14" t="s">
        <v>102</v>
      </c>
      <c r="E7" s="14" t="s">
        <v>102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8" t="s">
        <v>32</v>
      </c>
      <c r="B9" s="19"/>
      <c r="C9" s="28">
        <f t="shared" ref="C9:E9" si="1">SUM(C8)</f>
        <v>0</v>
      </c>
      <c r="D9" s="28">
        <f t="shared" si="1"/>
        <v>0</v>
      </c>
      <c r="E9" s="28">
        <f t="shared" si="1"/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9:B9"/>
  </mergeCells>
  <printOptions/>
  <pageMargins bottom="0.75" footer="0.0" header="0.0" left="0.7" right="0.7" top="0.75"/>
  <pageSetup orientation="landscape"/>
  <drawing r:id="rId1"/>
</worksheet>
</file>