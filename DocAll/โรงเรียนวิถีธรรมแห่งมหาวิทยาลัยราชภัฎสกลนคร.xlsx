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เรียน" sheetId="5" r:id="rId9"/>
    <sheet state="visible" name="นักเรียนสำเร็จการศึกษา" sheetId="6" r:id="rId10"/>
    <sheet state="visible" name="นักเรียนออกกลางคัน" sheetId="7" r:id="rId11"/>
    <sheet state="visible" name="นร.พิการเรียนรวม" sheetId="8" r:id="rId12"/>
    <sheet state="visible" name="ทุน ม.ท.ศ." sheetId="9" r:id="rId13"/>
    <sheet state="visible" name="ทุนร่วมจิตต์ฯ" sheetId="10" r:id="rId14"/>
    <sheet state="visible" name="พันธุกรรมพืชฯ" sheetId="11" r:id="rId15"/>
    <sheet state="visible" name="กพด." sheetId="12" r:id="rId16"/>
    <sheet state="visible" name="สถานศึกษาพอเพียง" sheetId="13" r:id="rId17"/>
    <sheet state="visible" name="สถานศึกษาสีขาว" sheetId="14" r:id="rId18"/>
  </sheets>
  <definedNames/>
  <calcPr/>
</workbook>
</file>

<file path=xl/sharedStrings.xml><?xml version="1.0" encoding="utf-8"?>
<sst xmlns="http://schemas.openxmlformats.org/spreadsheetml/2006/main" count="412" uniqueCount="105">
  <si>
    <t>ข้อมูลหน่วยงาน โรงเรียนวิถีธรรมแห่งมหาวิทยาลัยราชภัฏสกลนคร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</si>
  <si>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</si>
  <si>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</si>
  <si>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</si>
  <si>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</si>
  <si>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</si>
  <si>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</si>
  <si>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 โรงเรียนวิถีธรรมแห่งมหาวิทยาลัยราชภัฏสกลนคร ประจำปีการศึกษา 2569</t>
  </si>
  <si>
    <t>ชื่อสถานศึกษา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</si>
  <si>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</si>
  <si>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</si>
  <si>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</si>
  <si>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</si>
  <si>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</si>
  <si>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</si>
  <si>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โรงเรียนวิถีธรรมแห่งมหาวิทยาลัยราชภัฏสกลนคร</t>
  </si>
  <si>
    <t>จำนวนบุคลากรที่ทำหน้าที่สอน และวุฒิการศึกษา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</si>
  <si>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</si>
  <si>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</si>
  <si>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</si>
  <si>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</si>
  <si>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</si>
  <si>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</si>
  <si>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</si>
  <si>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</si>
  <si>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</si>
  <si>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</si>
  <si>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</si>
  <si>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</si>
  <si>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</si>
  <si>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</si>
  <si>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</si>
  <si>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</si>
  <si>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</si>
  <si>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>วิชาเอกที่สอน</t>
  </si>
  <si>
    <t>ปฐมวัย</t>
  </si>
  <si>
    <t>สังคม</t>
  </si>
  <si>
    <t>วิทยาศาสตร์</t>
  </si>
  <si>
    <t>ภาษาอังกฤษ</t>
  </si>
  <si>
    <t>ภาษาไทย</t>
  </si>
  <si>
    <t>คณิตศาสตร์</t>
  </si>
  <si>
    <t>ฟิสิกส์</t>
  </si>
  <si>
    <t>คอมพิวเตอร์</t>
  </si>
  <si>
    <t>จำนวนนักเรียน</t>
  </si>
  <si>
    <t>รวมนักเรียนทั้งหมด</t>
  </si>
  <si>
    <t>รวมห้องเรียนทั้งหมด</t>
  </si>
  <si>
    <t>อนุบาล 3 ขวบ</t>
  </si>
  <si>
    <t>อนุบาล 1</t>
  </si>
  <si>
    <t>อนุบาล 2</t>
  </si>
  <si>
    <t>รวมชั้นอนุบาล</t>
  </si>
  <si>
    <t>ป.1</t>
  </si>
  <si>
    <t>ป.2</t>
  </si>
  <si>
    <t>ป.3</t>
  </si>
  <si>
    <t>ป.4</t>
  </si>
  <si>
    <t>ป.5</t>
  </si>
  <si>
    <t>ป.6</t>
  </si>
  <si>
    <t>รวมชั้นประถม</t>
  </si>
  <si>
    <t>ม.1</t>
  </si>
  <si>
    <t>ม.2</t>
  </si>
  <si>
    <t>ม.3</t>
  </si>
  <si>
    <t>รวมชั้น ม.ต้น</t>
  </si>
  <si>
    <t>ม.4</t>
  </si>
  <si>
    <t>ม.5</t>
  </si>
  <si>
    <t>ม.6</t>
  </si>
  <si>
    <t>รวมชั้น ม.ปลาย</t>
  </si>
  <si>
    <t>จำนวนนักเรียนสำเร็จการศึกษา</t>
  </si>
  <si>
    <t>ปีการศึกษา 2568</t>
  </si>
  <si>
    <t>จำนวนนักเรียนออกกลางคัน จำแนกตามสาเหตุสำคัญ</t>
  </si>
  <si>
    <t>สาเหตุที่ออกกลางคัน</t>
  </si>
  <si>
    <t>ระดับ</t>
  </si>
  <si>
    <t>รวม (คน)</t>
  </si>
  <si>
    <t>ประถม</t>
  </si>
  <si>
    <t>ม.ต้น</t>
  </si>
  <si>
    <t>ม.ปลาย</t>
  </si>
  <si>
    <t>ฐานะยากจน</t>
  </si>
  <si>
    <t>มีปัญหาครอบครัว</t>
  </si>
  <si>
    <t>สมรส</t>
  </si>
  <si>
    <t>มีปัญหาการปรับตัว</t>
  </si>
  <si>
    <t>ต้องคดี/ถูกจับ</t>
  </si>
  <si>
    <t>เจ็บป่วย/อุบัติเหตุ</t>
  </si>
  <si>
    <t>อพยพตามครอบครัว</t>
  </si>
  <si>
    <t>หาเลี้ยงครอบครัว</t>
  </si>
  <si>
    <t xml:space="preserve">กรณีอื่น ๆ </t>
  </si>
  <si>
    <t>จำนวนนักเรียนพิการเรียนรวม</t>
  </si>
  <si>
    <t xml:space="preserve">ข้อมูลเรียนทุนพระราชทานในโครงการทุนการศึกษาพระราชทาน ม.ท.ศ. </t>
  </si>
  <si>
    <t>ชื่อ - สกุล</t>
  </si>
  <si>
    <t>ระดับชั้น</t>
  </si>
  <si>
    <t>โรงเรียน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</si>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</sst>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6" fillId="0" fontId="2" numFmtId="0" xfId="0" applyBorder="1" applyFont="1"/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" fillId="0" fontId="2" numFmtId="0" xfId="0" applyAlignment="1" applyBorder="1" applyFont="1">
      <alignment horizontal="center"/>
    </xf>
    <xf borderId="12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1" fillId="0" fontId="1" numFmtId="0" xfId="0" applyBorder="1" applyFont="1"/>
    <xf borderId="0" fillId="0" fontId="2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7.0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17" t="s">
        <v>15</v>
      </c>
      <c r="C5" s="4"/>
      <c r="D5" s="4"/>
      <c r="E5" s="4"/>
      <c r="F5" s="17"/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7.43"/>
    <col customWidth="1" min="3" max="3" width="16.14"/>
    <col customWidth="1" min="4" max="4" width="18.71"/>
    <col customWidth="1" min="5" max="22" width="9.0"/>
    <col customWidth="1" min="23" max="23" width="10.57"/>
    <col customWidth="1" min="24" max="35" width="9.0"/>
    <col customWidth="1" min="36" max="36" width="10.71"/>
  </cols>
  <sheetData>
    <row r="1" ht="24.0" customHeight="1">
      <c r="A1" s="1" t="s">
        <v>16</v>
      </c>
    </row>
    <row r="2" ht="24.0" customHeight="1">
      <c r="A2" s="1" t="s">
        <v>15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9"/>
      <c r="W5" s="6" t="s">
        <v>19</v>
      </c>
      <c r="X5" s="18" t="s">
        <v>20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19"/>
      <c r="AJ5" s="6" t="s">
        <v>19</v>
      </c>
    </row>
    <row r="6" ht="24.0" customHeight="1">
      <c r="A6" s="20"/>
      <c r="B6" s="20"/>
      <c r="C6" s="20"/>
      <c r="D6" s="20"/>
      <c r="E6" s="18" t="s">
        <v>21</v>
      </c>
      <c r="F6" s="9"/>
      <c r="G6" s="19"/>
      <c r="H6" s="18" t="s">
        <v>22</v>
      </c>
      <c r="I6" s="9"/>
      <c r="J6" s="19"/>
      <c r="K6" s="18" t="s">
        <v>23</v>
      </c>
      <c r="L6" s="9"/>
      <c r="M6" s="19"/>
      <c r="N6" s="18" t="s">
        <v>24</v>
      </c>
      <c r="O6" s="9"/>
      <c r="P6" s="19"/>
      <c r="Q6" s="18" t="s">
        <v>25</v>
      </c>
      <c r="R6" s="9"/>
      <c r="S6" s="19"/>
      <c r="T6" s="18" t="s">
        <v>26</v>
      </c>
      <c r="U6" s="9"/>
      <c r="V6" s="19"/>
      <c r="W6" s="20"/>
      <c r="X6" s="18" t="s">
        <v>27</v>
      </c>
      <c r="Y6" s="9"/>
      <c r="Z6" s="19"/>
      <c r="AA6" s="18" t="s">
        <v>28</v>
      </c>
      <c r="AB6" s="9"/>
      <c r="AC6" s="19"/>
      <c r="AD6" s="18" t="s">
        <v>29</v>
      </c>
      <c r="AE6" s="9"/>
      <c r="AF6" s="19"/>
      <c r="AG6" s="18" t="s">
        <v>26</v>
      </c>
      <c r="AH6" s="9"/>
      <c r="AI6" s="19"/>
      <c r="AJ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11"/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3" t="s">
        <v>30</v>
      </c>
      <c r="AH7" s="3" t="s">
        <v>31</v>
      </c>
      <c r="AI7" s="3" t="s">
        <v>32</v>
      </c>
      <c r="AJ7" s="11"/>
    </row>
    <row r="8" ht="24.0" customHeight="1">
      <c r="A8" s="21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/>
      <c r="O8" s="4"/>
      <c r="P8" s="4">
        <f>SUM(N8:O8)</f>
        <v>0</v>
      </c>
      <c r="Q8" s="4"/>
      <c r="R8" s="4"/>
      <c r="S8" s="4">
        <f>SUM(Q8:R8)</f>
        <v>0</v>
      </c>
      <c r="T8" s="4"/>
      <c r="U8" s="4"/>
      <c r="V8" s="4">
        <f>SUM(T8:U8)</f>
        <v>0</v>
      </c>
      <c r="W8" s="4">
        <f>SUM(V8,S8,P8,M8,J8,G8)</f>
        <v>0</v>
      </c>
      <c r="X8" s="4"/>
      <c r="Y8" s="4"/>
      <c r="Z8" s="4">
        <f>SUM(X8:Y8)</f>
        <v>0</v>
      </c>
      <c r="AA8" s="4"/>
      <c r="AB8" s="4"/>
      <c r="AC8" s="4">
        <f>SUM(AA8:AB8)</f>
        <v>0</v>
      </c>
      <c r="AD8" s="4"/>
      <c r="AE8" s="4"/>
      <c r="AF8" s="4">
        <f>SUM(AD8:AE8)</f>
        <v>0</v>
      </c>
      <c r="AG8" s="4"/>
      <c r="AH8" s="4"/>
      <c r="AI8" s="4">
        <f>SUM(AG8:AH8)</f>
        <v>0</v>
      </c>
      <c r="AJ8" s="4">
        <f>SUM(AI8,AF8,AC8,Z8)</f>
        <v>0</v>
      </c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21">
    <mergeCell ref="E5:V5"/>
    <mergeCell ref="W5:W7"/>
    <mergeCell ref="E6:G6"/>
    <mergeCell ref="H6:J6"/>
    <mergeCell ref="K6:M6"/>
    <mergeCell ref="N6:P6"/>
    <mergeCell ref="Q6:S6"/>
    <mergeCell ref="T6:V6"/>
    <mergeCell ref="X5:AI5"/>
    <mergeCell ref="AJ5:AJ7"/>
    <mergeCell ref="X6:Z6"/>
    <mergeCell ref="AA6:AC6"/>
    <mergeCell ref="AD6:AF6"/>
    <mergeCell ref="AG6:AI6"/>
    <mergeCell ref="A1:AJ1"/>
    <mergeCell ref="A2:AJ2"/>
    <mergeCell ref="A3:AJ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6.86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33</v>
      </c>
    </row>
    <row r="2" ht="24.0" customHeight="1">
      <c r="A2" s="1" t="s">
        <v>15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34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9"/>
      <c r="AF5" s="6" t="s">
        <v>19</v>
      </c>
    </row>
    <row r="6" ht="24.0" customHeight="1">
      <c r="A6" s="20"/>
      <c r="B6" s="20"/>
      <c r="C6" s="20"/>
      <c r="D6" s="20"/>
      <c r="E6" s="15" t="s">
        <v>35</v>
      </c>
      <c r="F6" s="22"/>
      <c r="G6" s="12"/>
      <c r="H6" s="15" t="s">
        <v>36</v>
      </c>
      <c r="I6" s="22"/>
      <c r="J6" s="12"/>
      <c r="K6" s="15" t="s">
        <v>37</v>
      </c>
      <c r="L6" s="22"/>
      <c r="M6" s="12"/>
      <c r="N6" s="15" t="s">
        <v>38</v>
      </c>
      <c r="O6" s="22"/>
      <c r="P6" s="12"/>
      <c r="Q6" s="15" t="s">
        <v>39</v>
      </c>
      <c r="R6" s="22"/>
      <c r="S6" s="12"/>
      <c r="T6" s="15" t="s">
        <v>40</v>
      </c>
      <c r="U6" s="22"/>
      <c r="V6" s="12"/>
      <c r="W6" s="15" t="s">
        <v>41</v>
      </c>
      <c r="X6" s="22"/>
      <c r="Y6" s="12"/>
      <c r="Z6" s="15" t="s">
        <v>42</v>
      </c>
      <c r="AA6" s="22"/>
      <c r="AB6" s="12"/>
      <c r="AC6" s="18" t="s">
        <v>26</v>
      </c>
      <c r="AD6" s="9"/>
      <c r="AE6" s="19"/>
      <c r="AF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3" t="s">
        <v>30</v>
      </c>
      <c r="X7" s="3" t="s">
        <v>31</v>
      </c>
      <c r="Y7" s="3" t="s">
        <v>32</v>
      </c>
      <c r="Z7" s="3" t="s">
        <v>30</v>
      </c>
      <c r="AA7" s="3" t="s">
        <v>31</v>
      </c>
      <c r="AB7" s="3" t="s">
        <v>32</v>
      </c>
      <c r="AC7" s="3" t="s">
        <v>30</v>
      </c>
      <c r="AD7" s="3" t="s">
        <v>31</v>
      </c>
      <c r="AE7" s="3" t="s">
        <v>32</v>
      </c>
      <c r="AF7" s="11"/>
    </row>
    <row r="8" ht="24.0" customHeight="1">
      <c r="A8" s="4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/>
      <c r="O8" s="4"/>
      <c r="P8" s="4">
        <f>SUM(N8:O8)</f>
        <v>0</v>
      </c>
      <c r="Q8" s="4"/>
      <c r="R8" s="4"/>
      <c r="S8" s="4">
        <f>SUM(Q8:R8)</f>
        <v>0</v>
      </c>
      <c r="T8" s="4"/>
      <c r="U8" s="4"/>
      <c r="V8" s="4">
        <f>SUM(T8:U8)</f>
        <v>0</v>
      </c>
      <c r="W8" s="4"/>
      <c r="X8" s="4"/>
      <c r="Y8" s="4">
        <f>SUM(W8:X8)</f>
        <v>0</v>
      </c>
      <c r="Z8" s="4"/>
      <c r="AA8" s="4"/>
      <c r="AB8" s="4">
        <f>SUM(Z8:AA8)</f>
        <v>0</v>
      </c>
      <c r="AC8" s="4"/>
      <c r="AD8" s="4"/>
      <c r="AE8" s="4">
        <f>SUM(AC8:AD8)</f>
        <v>0</v>
      </c>
      <c r="AF8" s="4">
        <f>SUM(AE8,AB8,Y8,V8,S8,P8,M8,J8,G8)</f>
        <v>0</v>
      </c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86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43</v>
      </c>
      <c r="BC1" s="2"/>
    </row>
    <row r="2" ht="24.0" customHeight="1">
      <c r="A2" s="1" t="s">
        <v>15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44</v>
      </c>
      <c r="BC5" s="23" t="s">
        <v>45</v>
      </c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18" t="s">
        <v>52</v>
      </c>
      <c r="V6" s="9"/>
      <c r="W6" s="19"/>
      <c r="X6" s="18" t="s">
        <v>53</v>
      </c>
      <c r="Y6" s="9"/>
      <c r="Z6" s="19"/>
      <c r="AA6" s="18" t="s">
        <v>54</v>
      </c>
      <c r="AB6" s="9"/>
      <c r="AC6" s="19"/>
      <c r="AD6" s="18" t="s">
        <v>55</v>
      </c>
      <c r="AE6" s="9"/>
      <c r="AF6" s="19"/>
      <c r="AG6" s="25" t="s">
        <v>56</v>
      </c>
      <c r="AH6" s="26" t="s">
        <v>57</v>
      </c>
      <c r="AI6" s="9"/>
      <c r="AJ6" s="19"/>
      <c r="AK6" s="26" t="s">
        <v>58</v>
      </c>
      <c r="AL6" s="9"/>
      <c r="AM6" s="19"/>
      <c r="AN6" s="26" t="s">
        <v>59</v>
      </c>
      <c r="AO6" s="9"/>
      <c r="AP6" s="19"/>
      <c r="AQ6" s="25" t="s">
        <v>60</v>
      </c>
      <c r="AR6" s="26" t="s">
        <v>61</v>
      </c>
      <c r="AS6" s="9"/>
      <c r="AT6" s="19"/>
      <c r="AU6" s="26" t="s">
        <v>62</v>
      </c>
      <c r="AV6" s="9"/>
      <c r="AW6" s="19"/>
      <c r="AX6" s="26" t="s">
        <v>63</v>
      </c>
      <c r="AY6" s="9"/>
      <c r="AZ6" s="19"/>
      <c r="BA6" s="25" t="s">
        <v>64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21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>
        <f>SUM(M8,J8,G8)</f>
        <v>0</v>
      </c>
      <c r="O8" s="4"/>
      <c r="P8" s="4"/>
      <c r="Q8" s="4">
        <f>SUM(O8:P8)</f>
        <v>0</v>
      </c>
      <c r="R8" s="4"/>
      <c r="S8" s="4"/>
      <c r="T8" s="4">
        <f>SUM(R8:S8)</f>
        <v>0</v>
      </c>
      <c r="U8" s="4"/>
      <c r="V8" s="4"/>
      <c r="W8" s="4">
        <f>SUM(U8:V8)</f>
        <v>0</v>
      </c>
      <c r="X8" s="4"/>
      <c r="Y8" s="4"/>
      <c r="Z8" s="4">
        <f>SUM(X8:Y8)</f>
        <v>0</v>
      </c>
      <c r="AA8" s="4"/>
      <c r="AB8" s="4"/>
      <c r="AC8" s="4">
        <f>SUM(AA8:AB8)</f>
        <v>0</v>
      </c>
      <c r="AD8" s="4"/>
      <c r="AE8" s="4"/>
      <c r="AF8" s="4">
        <f>SUM(AD8:AE8)</f>
        <v>0</v>
      </c>
      <c r="AG8" s="4">
        <f>SUM(AF8,AC8,Z8,W8,T8,Q8)</f>
        <v>0</v>
      </c>
      <c r="AH8" s="4"/>
      <c r="AI8" s="4"/>
      <c r="AJ8" s="4">
        <f>SUM(AH8:AI8)</f>
        <v>0</v>
      </c>
      <c r="AK8" s="4"/>
      <c r="AL8" s="4"/>
      <c r="AM8" s="4">
        <f>SUM(AK8:AL8)</f>
        <v>0</v>
      </c>
      <c r="AN8" s="4"/>
      <c r="AO8" s="4"/>
      <c r="AP8" s="4">
        <f>SUM(AN8:AO8)</f>
        <v>0</v>
      </c>
      <c r="AQ8" s="4">
        <f>SUM(AP8,AM8,AJ8)</f>
        <v>0</v>
      </c>
      <c r="AR8" s="4"/>
      <c r="AS8" s="4"/>
      <c r="AT8" s="4">
        <f>SUM(AR8:AS8)</f>
        <v>0</v>
      </c>
      <c r="AU8" s="4"/>
      <c r="AV8" s="4"/>
      <c r="AW8" s="4">
        <f>SUM(AU8:AV8)</f>
        <v>0</v>
      </c>
      <c r="AX8" s="4"/>
      <c r="AY8" s="4"/>
      <c r="AZ8" s="4">
        <f>SUM(AX8:AY8)</f>
        <v>0</v>
      </c>
      <c r="BA8" s="4">
        <f>SUM(AZ8,AW8,AT8)</f>
        <v>0</v>
      </c>
      <c r="BB8" s="4">
        <f>SUM(BA8,AQ8,AG8,N8)</f>
        <v>0</v>
      </c>
      <c r="BC8" s="4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57"/>
    <col customWidth="1" min="3" max="3" width="16.14"/>
    <col customWidth="1" min="4" max="4" width="18.71"/>
    <col customWidth="1" min="5" max="53" width="9.0"/>
    <col customWidth="1" min="54" max="54" width="10.86"/>
  </cols>
  <sheetData>
    <row r="1" ht="24.0" customHeight="1">
      <c r="A1" s="1" t="s">
        <v>65</v>
      </c>
    </row>
    <row r="2" ht="24.0" customHeight="1">
      <c r="A2" s="1" t="s">
        <v>15</v>
      </c>
    </row>
    <row r="3" ht="24.0" customHeight="1">
      <c r="A3" s="1" t="s">
        <v>66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44</v>
      </c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18" t="s">
        <v>52</v>
      </c>
      <c r="V6" s="9"/>
      <c r="W6" s="19"/>
      <c r="X6" s="18" t="s">
        <v>53</v>
      </c>
      <c r="Y6" s="9"/>
      <c r="Z6" s="19"/>
      <c r="AA6" s="18" t="s">
        <v>54</v>
      </c>
      <c r="AB6" s="9"/>
      <c r="AC6" s="19"/>
      <c r="AD6" s="18" t="s">
        <v>55</v>
      </c>
      <c r="AE6" s="9"/>
      <c r="AF6" s="19"/>
      <c r="AG6" s="25" t="s">
        <v>56</v>
      </c>
      <c r="AH6" s="26" t="s">
        <v>57</v>
      </c>
      <c r="AI6" s="9"/>
      <c r="AJ6" s="19"/>
      <c r="AK6" s="26" t="s">
        <v>58</v>
      </c>
      <c r="AL6" s="9"/>
      <c r="AM6" s="19"/>
      <c r="AN6" s="26" t="s">
        <v>59</v>
      </c>
      <c r="AO6" s="9"/>
      <c r="AP6" s="19"/>
      <c r="AQ6" s="25" t="s">
        <v>60</v>
      </c>
      <c r="AR6" s="26" t="s">
        <v>61</v>
      </c>
      <c r="AS6" s="9"/>
      <c r="AT6" s="19"/>
      <c r="AU6" s="26" t="s">
        <v>62</v>
      </c>
      <c r="AV6" s="9"/>
      <c r="AW6" s="19"/>
      <c r="AX6" s="26" t="s">
        <v>63</v>
      </c>
      <c r="AY6" s="9"/>
      <c r="AZ6" s="19"/>
      <c r="BA6" s="25" t="s">
        <v>64</v>
      </c>
      <c r="BB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</row>
    <row r="8" ht="24.0" customHeight="1">
      <c r="A8" s="21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>
        <f>SUM(M8,J8,G8)</f>
        <v>0</v>
      </c>
      <c r="O8" s="4"/>
      <c r="P8" s="4"/>
      <c r="Q8" s="4">
        <f>SUM(O8:P8)</f>
        <v>0</v>
      </c>
      <c r="R8" s="4"/>
      <c r="S8" s="4"/>
      <c r="T8" s="4">
        <f>SUM(R8:S8)</f>
        <v>0</v>
      </c>
      <c r="U8" s="4"/>
      <c r="V8" s="4"/>
      <c r="W8" s="4">
        <f>SUM(U8:V8)</f>
        <v>0</v>
      </c>
      <c r="X8" s="4"/>
      <c r="Y8" s="4"/>
      <c r="Z8" s="4">
        <f>SUM(X8:Y8)</f>
        <v>0</v>
      </c>
      <c r="AA8" s="4"/>
      <c r="AB8" s="4"/>
      <c r="AC8" s="4">
        <f>SUM(AA8:AB8)</f>
        <v>0</v>
      </c>
      <c r="AD8" s="4"/>
      <c r="AE8" s="4"/>
      <c r="AF8" s="4">
        <f>SUM(AD8:AE8)</f>
        <v>0</v>
      </c>
      <c r="AG8" s="4">
        <f>SUM(AF8,AC8,Z8,W8,T8,Q8)</f>
        <v>0</v>
      </c>
      <c r="AH8" s="4"/>
      <c r="AI8" s="4"/>
      <c r="AJ8" s="4">
        <f>SUM(AH8:AI8)</f>
        <v>0</v>
      </c>
      <c r="AK8" s="4"/>
      <c r="AL8" s="4"/>
      <c r="AM8" s="4">
        <f>SUM(AK8:AL8)</f>
        <v>0</v>
      </c>
      <c r="AN8" s="4"/>
      <c r="AO8" s="4"/>
      <c r="AP8" s="4">
        <f>SUM(AN8:AO8)</f>
        <v>0</v>
      </c>
      <c r="AQ8" s="4">
        <f>SUM(AP8,AM8,AJ8)</f>
        <v>0</v>
      </c>
      <c r="AR8" s="4"/>
      <c r="AS8" s="4"/>
      <c r="AT8" s="4">
        <f>SUM(AR8:AS8)</f>
        <v>0</v>
      </c>
      <c r="AU8" s="4"/>
      <c r="AV8" s="4"/>
      <c r="AW8" s="4">
        <f>SUM(AU8:AV8)</f>
        <v>0</v>
      </c>
      <c r="AX8" s="4"/>
      <c r="AY8" s="4"/>
      <c r="AZ8" s="4">
        <f>SUM(AX8:AY8)</f>
        <v>0</v>
      </c>
      <c r="BA8" s="4">
        <f>SUM(AZ8,AW8,AT8)</f>
        <v>0</v>
      </c>
      <c r="BB8" s="4">
        <f>SUM(BA8,AQ8,AG8,N8)</f>
        <v>0</v>
      </c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</row>
  </sheetData>
  <mergeCells count="28">
    <mergeCell ref="A1:BB1"/>
    <mergeCell ref="A2:BB2"/>
    <mergeCell ref="A3:BB3"/>
    <mergeCell ref="A5:A7"/>
    <mergeCell ref="B5:B7"/>
    <mergeCell ref="C5:C7"/>
    <mergeCell ref="D5:D7"/>
    <mergeCell ref="E5:BA5"/>
    <mergeCell ref="E6:G6"/>
    <mergeCell ref="H6:J6"/>
    <mergeCell ref="K6:M6"/>
    <mergeCell ref="N6:N7"/>
    <mergeCell ref="O6:Q6"/>
    <mergeCell ref="AX6:AZ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BB5:BB7"/>
    <mergeCell ref="BA6:BA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5.71"/>
    <col customWidth="1" min="3" max="6" width="11.0"/>
    <col customWidth="1" min="7" max="26" width="8.71"/>
  </cols>
  <sheetData>
    <row r="1" ht="24.0" customHeight="1">
      <c r="A1" s="1" t="s">
        <v>67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66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68</v>
      </c>
      <c r="C5" s="18" t="s">
        <v>69</v>
      </c>
      <c r="D5" s="9"/>
      <c r="E5" s="9"/>
      <c r="F5" s="23" t="s">
        <v>70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1"/>
      <c r="B6" s="11"/>
      <c r="C6" s="3" t="s">
        <v>71</v>
      </c>
      <c r="D6" s="3" t="s">
        <v>72</v>
      </c>
      <c r="E6" s="3" t="s">
        <v>73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21">
        <v>1.0</v>
      </c>
      <c r="B7" s="4" t="s">
        <v>74</v>
      </c>
      <c r="C7" s="21"/>
      <c r="D7" s="21"/>
      <c r="E7" s="21"/>
      <c r="F7" s="4">
        <f t="shared" ref="F7:F15" si="1">SUM(C7:E7)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2.0</v>
      </c>
      <c r="B8" s="4" t="s">
        <v>75</v>
      </c>
      <c r="C8" s="21"/>
      <c r="D8" s="21"/>
      <c r="E8" s="21"/>
      <c r="F8" s="4">
        <f t="shared" si="1"/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3.0</v>
      </c>
      <c r="B9" s="4" t="s">
        <v>76</v>
      </c>
      <c r="C9" s="21"/>
      <c r="D9" s="21"/>
      <c r="E9" s="21"/>
      <c r="F9" s="4">
        <f t="shared" si="1"/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4.0</v>
      </c>
      <c r="B10" s="4" t="s">
        <v>77</v>
      </c>
      <c r="C10" s="21"/>
      <c r="D10" s="21"/>
      <c r="E10" s="21"/>
      <c r="F10" s="4">
        <f t="shared" si="1"/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5.0</v>
      </c>
      <c r="B11" s="4" t="s">
        <v>78</v>
      </c>
      <c r="C11" s="21"/>
      <c r="D11" s="21"/>
      <c r="E11" s="21"/>
      <c r="F11" s="4">
        <f t="shared" si="1"/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6.0</v>
      </c>
      <c r="B12" s="4" t="s">
        <v>79</v>
      </c>
      <c r="C12" s="21"/>
      <c r="D12" s="21"/>
      <c r="E12" s="21"/>
      <c r="F12" s="4">
        <f t="shared" si="1"/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7.0</v>
      </c>
      <c r="B13" s="4" t="s">
        <v>80</v>
      </c>
      <c r="C13" s="21"/>
      <c r="D13" s="21"/>
      <c r="E13" s="21"/>
      <c r="F13" s="4">
        <f t="shared" si="1"/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8.0</v>
      </c>
      <c r="B14" s="4" t="s">
        <v>81</v>
      </c>
      <c r="C14" s="21"/>
      <c r="D14" s="21"/>
      <c r="E14" s="21"/>
      <c r="F14" s="4">
        <f t="shared" si="1"/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9.0</v>
      </c>
      <c r="B15" s="4" t="s">
        <v>82</v>
      </c>
      <c r="C15" s="21"/>
      <c r="D15" s="21"/>
      <c r="E15" s="21"/>
      <c r="F15" s="4">
        <f t="shared" si="1"/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8" t="s">
        <v>19</v>
      </c>
      <c r="B16" s="19"/>
      <c r="C16" s="28">
        <f t="shared" ref="C16:F16" si="2">SUM(C7:C15)</f>
        <v>0</v>
      </c>
      <c r="D16" s="28">
        <f t="shared" si="2"/>
        <v>0</v>
      </c>
      <c r="E16" s="28">
        <f t="shared" si="2"/>
        <v>0</v>
      </c>
      <c r="F16" s="28">
        <f t="shared" si="2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F1"/>
    <mergeCell ref="A2:F2"/>
    <mergeCell ref="A3:F3"/>
    <mergeCell ref="A5:A6"/>
    <mergeCell ref="B5:B6"/>
    <mergeCell ref="C5:E5"/>
    <mergeCell ref="F5:F6"/>
    <mergeCell ref="A16:B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71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83</v>
      </c>
      <c r="BC1" s="2"/>
    </row>
    <row r="2" ht="24.0" customHeight="1">
      <c r="A2" s="1" t="s">
        <v>15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44</v>
      </c>
      <c r="BC5" s="23" t="s">
        <v>45</v>
      </c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18" t="s">
        <v>52</v>
      </c>
      <c r="V6" s="9"/>
      <c r="W6" s="19"/>
      <c r="X6" s="18" t="s">
        <v>53</v>
      </c>
      <c r="Y6" s="9"/>
      <c r="Z6" s="19"/>
      <c r="AA6" s="18" t="s">
        <v>54</v>
      </c>
      <c r="AB6" s="9"/>
      <c r="AC6" s="19"/>
      <c r="AD6" s="18" t="s">
        <v>55</v>
      </c>
      <c r="AE6" s="9"/>
      <c r="AF6" s="19"/>
      <c r="AG6" s="25" t="s">
        <v>56</v>
      </c>
      <c r="AH6" s="26" t="s">
        <v>57</v>
      </c>
      <c r="AI6" s="9"/>
      <c r="AJ6" s="19"/>
      <c r="AK6" s="26" t="s">
        <v>58</v>
      </c>
      <c r="AL6" s="9"/>
      <c r="AM6" s="19"/>
      <c r="AN6" s="26" t="s">
        <v>59</v>
      </c>
      <c r="AO6" s="9"/>
      <c r="AP6" s="19"/>
      <c r="AQ6" s="25" t="s">
        <v>60</v>
      </c>
      <c r="AR6" s="26" t="s">
        <v>61</v>
      </c>
      <c r="AS6" s="9"/>
      <c r="AT6" s="19"/>
      <c r="AU6" s="26" t="s">
        <v>62</v>
      </c>
      <c r="AV6" s="9"/>
      <c r="AW6" s="19"/>
      <c r="AX6" s="26" t="s">
        <v>63</v>
      </c>
      <c r="AY6" s="9"/>
      <c r="AZ6" s="19"/>
      <c r="BA6" s="25" t="s">
        <v>64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21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>
        <f>SUM(M8,J8,G8)</f>
        <v>0</v>
      </c>
      <c r="O8" s="4"/>
      <c r="P8" s="4"/>
      <c r="Q8" s="4">
        <f>SUM(O8:P8)</f>
        <v>0</v>
      </c>
      <c r="R8" s="4"/>
      <c r="S8" s="4"/>
      <c r="T8" s="4">
        <f>SUM(R8:S8)</f>
        <v>0</v>
      </c>
      <c r="U8" s="4"/>
      <c r="V8" s="4"/>
      <c r="W8" s="4">
        <f>SUM(U8:V8)</f>
        <v>0</v>
      </c>
      <c r="X8" s="4"/>
      <c r="Y8" s="4"/>
      <c r="Z8" s="4">
        <f>SUM(X8:Y8)</f>
        <v>0</v>
      </c>
      <c r="AA8" s="4"/>
      <c r="AB8" s="4"/>
      <c r="AC8" s="4">
        <f>SUM(AA8:AB8)</f>
        <v>0</v>
      </c>
      <c r="AD8" s="4"/>
      <c r="AE8" s="4"/>
      <c r="AF8" s="4">
        <f>SUM(AD8:AE8)</f>
        <v>0</v>
      </c>
      <c r="AG8" s="4">
        <f>SUM(AF8,AC8,Z8,W8,T8,Q8)</f>
        <v>0</v>
      </c>
      <c r="AH8" s="4"/>
      <c r="AI8" s="4"/>
      <c r="AJ8" s="4">
        <f>SUM(AH8:AI8)</f>
        <v>0</v>
      </c>
      <c r="AK8" s="4"/>
      <c r="AL8" s="4"/>
      <c r="AM8" s="4">
        <f>SUM(AK8:AL8)</f>
        <v>0</v>
      </c>
      <c r="AN8" s="4"/>
      <c r="AO8" s="4"/>
      <c r="AP8" s="4">
        <f>SUM(AN8:AO8)</f>
        <v>0</v>
      </c>
      <c r="AQ8" s="4">
        <f>SUM(AP8,AM8,AJ8)</f>
        <v>0</v>
      </c>
      <c r="AR8" s="4"/>
      <c r="AS8" s="4"/>
      <c r="AT8" s="4">
        <f>SUM(AR8:AS8)</f>
        <v>0</v>
      </c>
      <c r="AU8" s="4"/>
      <c r="AV8" s="4"/>
      <c r="AW8" s="4">
        <f>SUM(AU8:AV8)</f>
        <v>0</v>
      </c>
      <c r="AX8" s="4"/>
      <c r="AY8" s="4"/>
      <c r="AZ8" s="4">
        <f>SUM(AX8:AY8)</f>
        <v>0</v>
      </c>
      <c r="BA8" s="4">
        <f>SUM(AZ8,AW8,AT8)</f>
        <v>0</v>
      </c>
      <c r="BB8" s="4">
        <f>SUM(BA8,AQ8,AG8,N8)</f>
        <v>0</v>
      </c>
      <c r="BC8" s="4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85</v>
      </c>
      <c r="C4" s="3" t="s">
        <v>86</v>
      </c>
      <c r="D4" s="3" t="s">
        <v>87</v>
      </c>
      <c r="E4" s="3" t="s">
        <v>88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85</v>
      </c>
      <c r="C4" s="3" t="s">
        <v>86</v>
      </c>
      <c r="D4" s="3" t="s">
        <v>87</v>
      </c>
      <c r="E4" s="3" t="s">
        <v>88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7.86"/>
    <col customWidth="1" min="4" max="4" width="18.0"/>
    <col customWidth="1" min="5" max="5" width="19.57"/>
    <col customWidth="1" min="6" max="6" width="18.29"/>
    <col customWidth="1" min="7" max="7" width="18.14"/>
    <col customWidth="1" min="8" max="26" width="8.71"/>
  </cols>
  <sheetData>
    <row r="1" ht="24.0" customHeight="1">
      <c r="A1" s="1" t="s">
        <v>90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91</v>
      </c>
      <c r="D4" s="3" t="s">
        <v>92</v>
      </c>
      <c r="E4" s="3" t="s">
        <v>93</v>
      </c>
      <c r="F4" s="3" t="s">
        <v>94</v>
      </c>
      <c r="G4" s="3" t="s">
        <v>88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21"/>
      <c r="D5" s="21"/>
      <c r="E5" s="21"/>
      <c r="F5" s="21"/>
      <c r="G5" s="2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27.14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5</v>
      </c>
      <c r="E4" s="3" t="s">
        <v>88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33.57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97</v>
      </c>
      <c r="E4" s="3" t="s">
        <v>88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22.71"/>
    <col customWidth="1" min="4" max="5" width="23.0"/>
    <col customWidth="1" min="6" max="6" width="9.0"/>
    <col customWidth="1" min="7" max="26" width="8.71"/>
  </cols>
  <sheetData>
    <row r="1" ht="24.0" customHeight="1">
      <c r="A1" s="1" t="s">
        <v>98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6" t="s">
        <v>1</v>
      </c>
      <c r="B4" s="6" t="s">
        <v>8</v>
      </c>
      <c r="C4" s="30" t="s">
        <v>99</v>
      </c>
      <c r="D4" s="31" t="s">
        <v>99</v>
      </c>
      <c r="E4" s="31" t="s">
        <v>99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0"/>
      <c r="B5" s="20"/>
      <c r="C5" s="32" t="s">
        <v>100</v>
      </c>
      <c r="D5" s="33" t="s">
        <v>101</v>
      </c>
      <c r="E5" s="33" t="s">
        <v>101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32" t="s">
        <v>102</v>
      </c>
      <c r="D6" s="33" t="s">
        <v>103</v>
      </c>
      <c r="E6" s="33" t="s">
        <v>104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4"/>
      <c r="D7" s="14" t="s">
        <v>102</v>
      </c>
      <c r="E7" s="14" t="s">
        <v>102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1.0</v>
      </c>
      <c r="B8" s="4"/>
      <c r="C8" s="17"/>
      <c r="D8" s="17"/>
      <c r="E8" s="1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8" t="s">
        <v>32</v>
      </c>
      <c r="B9" s="19"/>
      <c r="C9" s="28">
        <f t="shared" ref="C9:E9" si="1">SUM(C8)</f>
        <v>0</v>
      </c>
      <c r="D9" s="28">
        <f t="shared" si="1"/>
        <v>0</v>
      </c>
      <c r="E9" s="28">
        <f t="shared" si="1"/>
        <v>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E1"/>
    <mergeCell ref="A2:E2"/>
    <mergeCell ref="A4:A7"/>
    <mergeCell ref="B4:B7"/>
    <mergeCell ref="A9:B9"/>
  </mergeCells>
  <printOptions/>
  <pageMargins bottom="0.75" footer="0.0" header="0.0" left="0.7" right="0.7" top="0.75"/>
  <pageSetup orientation="landscape"/>
  <drawing r:id="rId1"/>
</worksheet>
</file>